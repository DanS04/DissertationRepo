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0" documentId="8_{BB36FF58-F3EF-4D7E-B545-5DB97797BC8A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SUS Survey" sheetId="1" r:id="rId1"/>
  </sheets>
  <definedNames>
    <definedName name="_xlnm._FilterDatabase" localSheetId="0" hidden="1">'SUS Survey'!$A$1:$L$16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16" i="1" l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<sst xmlns="http://schemas.openxmlformats.org/spreadsheetml/2006/main" count="12" uniqueCount="12">
  <si>
    <t>User ID</t>
  </si>
  <si>
    <t>Q1 - I would like to use this system frequently (1-5)</t>
  </si>
  <si>
    <t>Q2 - I found the system unnecessarily complex (1-5)</t>
  </si>
  <si>
    <t>Q3 - The system was easy to use (1-5)</t>
  </si>
  <si>
    <t>Q4 - I would need technical support to use this system (1-5)</t>
  </si>
  <si>
    <t>Q5 - Functions were well integrated (1-5)</t>
  </si>
  <si>
    <t>Q6 - Too much inconsistency in this system (1-5)</t>
  </si>
  <si>
    <t>Q7 - Most people would learn this quickly (1-5)</t>
  </si>
  <si>
    <t>Q8 - The system was very cumbersome to use (1-5)</t>
  </si>
  <si>
    <t>Q9 - I felt very confident using the system (1-5)</t>
  </si>
  <si>
    <t>Q10 - I needed to learn a lot before using this system (1-5)</t>
  </si>
  <si>
    <t>SUS Score (0-100)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</si>
</sst>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E2EFDA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zoomScaleNormal="100" workbookViewId="0">
      <selection activeCell="J26" sqref="J26"/>
    </sheetView>
  </sheetViews>
  <sheetFormatPr defaultColWidth="8.7109375" defaultRowHeight="15"/>
  <cols>
    <col min="1" max="1" width="10" customWidth="1"/>
    <col min="2" max="11" width="22" customWidth="1"/>
    <col min="12" max="12" width="18" customWidth="1"/>
  </cols>
  <sheetData>
    <row r="1" spans="1:12" ht="4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customHeight="1">
      <c r="A2" s="2">
        <v>1</v>
      </c>
      <c r="B2" s="2">
        <v>5</v>
      </c>
      <c r="C2" s="2">
        <v>1</v>
      </c>
      <c r="D2" s="2">
        <v>5</v>
      </c>
      <c r="E2" s="2">
        <v>1</v>
      </c>
      <c r="F2" s="2">
        <v>5</v>
      </c>
      <c r="G2" s="2">
        <v>1</v>
      </c>
      <c r="H2" s="2">
        <v>4</v>
      </c>
      <c r="I2" s="2">
        <v>1</v>
      </c>
      <c r="J2" s="2">
        <v>4</v>
      </c>
      <c r="K2" s="2">
        <v>2</v>
      </c>
      <c r="L2" s="3">
        <f>IF(AND(B2&lt;&gt;"",C2&lt;&gt;"",D2&lt;&gt;"",E2&lt;&gt;"",F2&lt;&gt;"",G2&lt;&gt;"",H2&lt;&gt;"",I2&lt;&gt;"",J2&lt;&gt;"",K2&lt;&gt;""),((B2-1)+(5-C2)+(D2-1)+(5-E2)+(F2-1)+(5-G2)+(H2-1)+(5-I2)+(J2-1)+(5-K2))*2.5,"")</f>
        <v>92.5</v>
      </c>
    </row>
    <row r="3" spans="1:12" ht="15" customHeight="1">
      <c r="A3" s="2">
        <v>2</v>
      </c>
      <c r="B3" s="2">
        <v>3</v>
      </c>
      <c r="C3" s="2">
        <v>2</v>
      </c>
      <c r="D3" s="2">
        <v>5</v>
      </c>
      <c r="E3" s="2">
        <v>1</v>
      </c>
      <c r="F3" s="2">
        <v>5</v>
      </c>
      <c r="G3" s="2">
        <v>1</v>
      </c>
      <c r="H3" s="2">
        <v>4</v>
      </c>
      <c r="I3" s="2">
        <v>1</v>
      </c>
      <c r="J3" s="2">
        <v>4</v>
      </c>
      <c r="K3" s="2">
        <v>2</v>
      </c>
      <c r="L3" s="3">
        <f>IF(AND(B3&lt;&gt;"",C3&lt;&gt;"",D3&lt;&gt;"",E3&lt;&gt;"",F3&lt;&gt;"",G3&lt;&gt;"",H3&lt;&gt;"",I3&lt;&gt;"",J3&lt;&gt;"",K3&lt;&gt;""),((B3-1)+(5-C3)+(D3-1)+(5-E3)+(F3-1)+(5-G3)+(H3-1)+(5-I3)+(J3-1)+(5-K3))*2.5,"")</f>
        <v>85</v>
      </c>
    </row>
    <row r="4" spans="1:12" ht="15" customHeight="1">
      <c r="A4" s="2">
        <v>3</v>
      </c>
      <c r="B4" s="2">
        <v>5</v>
      </c>
      <c r="C4" s="2">
        <v>1</v>
      </c>
      <c r="D4" s="2">
        <v>5</v>
      </c>
      <c r="E4" s="2">
        <v>1</v>
      </c>
      <c r="F4" s="2">
        <v>5</v>
      </c>
      <c r="G4" s="2">
        <v>1</v>
      </c>
      <c r="H4" s="2">
        <v>5</v>
      </c>
      <c r="I4" s="2">
        <v>1</v>
      </c>
      <c r="J4" s="2">
        <v>5</v>
      </c>
      <c r="K4" s="2">
        <v>1</v>
      </c>
      <c r="L4" s="3">
        <f>IF(AND(B4&lt;&gt;"",C4&lt;&gt;"",D4&lt;&gt;"",E4&lt;&gt;"",F4&lt;&gt;"",G4&lt;&gt;"",H4&lt;&gt;"",I4&lt;&gt;"",J4&lt;&gt;"",K4&lt;&gt;""),((B4-1)+(5-C4)+(D4-1)+(5-E4)+(F4-1)+(5-G4)+(H4-1)+(5-I4)+(J4-1)+(5-K4))*2.5,"")</f>
        <v>100</v>
      </c>
    </row>
    <row r="5" spans="1:12" ht="15" customHeight="1">
      <c r="A5" s="2">
        <v>4</v>
      </c>
      <c r="B5" s="2">
        <v>4</v>
      </c>
      <c r="C5" s="2">
        <v>1</v>
      </c>
      <c r="D5" s="2">
        <v>5</v>
      </c>
      <c r="E5" s="2">
        <v>1</v>
      </c>
      <c r="F5" s="2">
        <v>5</v>
      </c>
      <c r="G5" s="2">
        <v>1</v>
      </c>
      <c r="H5" s="2">
        <v>4</v>
      </c>
      <c r="I5" s="2">
        <v>1</v>
      </c>
      <c r="J5" s="2">
        <v>4</v>
      </c>
      <c r="K5" s="2">
        <v>2</v>
      </c>
      <c r="L5" s="3">
        <f>IF(AND(B5&lt;&gt;"",C5&lt;&gt;"",D5&lt;&gt;"",E5&lt;&gt;"",F5&lt;&gt;"",G5&lt;&gt;"",H5&lt;&gt;"",I5&lt;&gt;"",J5&lt;&gt;"",K5&lt;&gt;""),((B5-1)+(5-C5)+(D5-1)+(5-E5)+(F5-1)+(5-G5)+(H5-1)+(5-I5)+(J5-1)+(5-K5))*2.5,"")</f>
        <v>90</v>
      </c>
    </row>
    <row r="6" spans="1:12" ht="15" customHeight="1">
      <c r="A6" s="2">
        <v>5</v>
      </c>
      <c r="B6" s="2">
        <v>4</v>
      </c>
      <c r="C6" s="2">
        <v>2</v>
      </c>
      <c r="D6" s="2">
        <v>4</v>
      </c>
      <c r="E6" s="2">
        <v>2</v>
      </c>
      <c r="F6" s="2">
        <v>4</v>
      </c>
      <c r="G6" s="2">
        <v>1</v>
      </c>
      <c r="H6" s="2">
        <v>4</v>
      </c>
      <c r="I6" s="2">
        <v>1</v>
      </c>
      <c r="J6" s="2">
        <v>4</v>
      </c>
      <c r="K6" s="2">
        <v>2</v>
      </c>
      <c r="L6" s="3">
        <f>IF(AND(B6&lt;&gt;"",C6&lt;&gt;"",D6&lt;&gt;"",E6&lt;&gt;"",F6&lt;&gt;"",G6&lt;&gt;"",H6&lt;&gt;"",I6&lt;&gt;"",J6&lt;&gt;"",K6&lt;&gt;""),((B6-1)+(5-C6)+(D6-1)+(5-E6)+(F6-1)+(5-G6)+(H6-1)+(5-I6)+(J6-1)+(5-K6))*2.5,"")</f>
        <v>80</v>
      </c>
    </row>
    <row r="7" spans="1:12" ht="15" customHeight="1">
      <c r="A7" s="2">
        <v>6</v>
      </c>
      <c r="B7" s="2">
        <v>5</v>
      </c>
      <c r="C7" s="2">
        <v>1</v>
      </c>
      <c r="D7" s="2">
        <v>5</v>
      </c>
      <c r="E7" s="2">
        <v>1</v>
      </c>
      <c r="F7" s="2">
        <v>5</v>
      </c>
      <c r="G7" s="2">
        <v>1</v>
      </c>
      <c r="H7" s="2">
        <v>5</v>
      </c>
      <c r="I7" s="2">
        <v>1</v>
      </c>
      <c r="J7" s="2">
        <v>5</v>
      </c>
      <c r="K7" s="2">
        <v>1</v>
      </c>
      <c r="L7" s="3">
        <f>IF(AND(B7&lt;&gt;"",C7&lt;&gt;"",D7&lt;&gt;"",E7&lt;&gt;"",F7&lt;&gt;"",G7&lt;&gt;"",H7&lt;&gt;"",I7&lt;&gt;"",J7&lt;&gt;"",K7&lt;&gt;""),((B7-1)+(5-C7)+(D7-1)+(5-E7)+(F7-1)+(5-G7)+(H7-1)+(5-I7)+(J7-1)+(5-K7))*2.5,"")</f>
        <v>100</v>
      </c>
    </row>
    <row r="8" spans="1:12" ht="15" customHeight="1">
      <c r="A8" s="2">
        <v>7</v>
      </c>
      <c r="B8" s="2">
        <v>5</v>
      </c>
      <c r="C8" s="2">
        <v>1</v>
      </c>
      <c r="D8" s="2">
        <v>5</v>
      </c>
      <c r="E8" s="2">
        <v>1</v>
      </c>
      <c r="F8" s="2">
        <v>5</v>
      </c>
      <c r="G8" s="2">
        <v>1</v>
      </c>
      <c r="H8" s="2">
        <v>5</v>
      </c>
      <c r="I8" s="2">
        <v>1</v>
      </c>
      <c r="J8" s="2">
        <v>5</v>
      </c>
      <c r="K8" s="2">
        <v>1</v>
      </c>
      <c r="L8" s="3">
        <f>IF(AND(B8&lt;&gt;"",C8&lt;&gt;"",D8&lt;&gt;"",E8&lt;&gt;"",F8&lt;&gt;"",G8&lt;&gt;"",H8&lt;&gt;"",I8&lt;&gt;"",J8&lt;&gt;"",K8&lt;&gt;""),((B8-1)+(5-C8)+(D8-1)+(5-E8)+(F8-1)+(5-G8)+(H8-1)+(5-I8)+(J8-1)+(5-K8))*2.5,"")</f>
        <v>100</v>
      </c>
    </row>
    <row r="9" spans="1:12" ht="15" customHeight="1">
      <c r="A9" s="2">
        <v>8</v>
      </c>
      <c r="B9" s="2">
        <v>4</v>
      </c>
      <c r="C9" s="2">
        <v>1</v>
      </c>
      <c r="D9" s="2">
        <v>5</v>
      </c>
      <c r="E9" s="2">
        <v>1</v>
      </c>
      <c r="F9" s="2">
        <v>5</v>
      </c>
      <c r="G9" s="2">
        <v>1</v>
      </c>
      <c r="H9" s="2">
        <v>5</v>
      </c>
      <c r="I9" s="2">
        <v>1</v>
      </c>
      <c r="J9" s="2">
        <v>5</v>
      </c>
      <c r="K9" s="2">
        <v>1</v>
      </c>
      <c r="L9" s="3">
        <f>IF(AND(B9&lt;&gt;"",C9&lt;&gt;"",D9&lt;&gt;"",E9&lt;&gt;"",F9&lt;&gt;"",G9&lt;&gt;"",H9&lt;&gt;"",I9&lt;&gt;"",J9&lt;&gt;"",K9&lt;&gt;""),((B9-1)+(5-C9)+(D9-1)+(5-E9)+(F9-1)+(5-G9)+(H9-1)+(5-I9)+(J9-1)+(5-K9))*2.5,"")</f>
        <v>97.5</v>
      </c>
    </row>
    <row r="10" spans="1:12" ht="15" customHeight="1">
      <c r="A10" s="2">
        <v>9</v>
      </c>
      <c r="B10" s="2">
        <v>5</v>
      </c>
      <c r="C10" s="2">
        <v>1</v>
      </c>
      <c r="D10" s="2">
        <v>4</v>
      </c>
      <c r="E10" s="2">
        <v>2</v>
      </c>
      <c r="F10" s="2">
        <v>5</v>
      </c>
      <c r="G10" s="2">
        <v>1</v>
      </c>
      <c r="H10" s="2">
        <v>4</v>
      </c>
      <c r="I10" s="2">
        <v>1</v>
      </c>
      <c r="J10" s="2">
        <v>4</v>
      </c>
      <c r="K10" s="2">
        <v>2</v>
      </c>
      <c r="L10" s="3">
        <f>IF(AND(B10&lt;&gt;"",C10&lt;&gt;"",D10&lt;&gt;"",E10&lt;&gt;"",F10&lt;&gt;"",G10&lt;&gt;"",H10&lt;&gt;"",I10&lt;&gt;"",J10&lt;&gt;"",K10&lt;&gt;""),((B10-1)+(5-C10)+(D10-1)+(5-E10)+(F10-1)+(5-G10)+(H10-1)+(5-I10)+(J10-1)+(5-K10))*2.5,"")</f>
        <v>87.5</v>
      </c>
    </row>
    <row r="11" spans="1:12" ht="15" customHeight="1">
      <c r="A11" s="2">
        <v>10</v>
      </c>
      <c r="B11" s="2">
        <v>5</v>
      </c>
      <c r="C11" s="2">
        <v>1</v>
      </c>
      <c r="D11" s="2">
        <v>5</v>
      </c>
      <c r="E11" s="2">
        <v>1</v>
      </c>
      <c r="F11" s="2">
        <v>5</v>
      </c>
      <c r="G11" s="2">
        <v>1</v>
      </c>
      <c r="H11" s="2">
        <v>5</v>
      </c>
      <c r="I11" s="2">
        <v>1</v>
      </c>
      <c r="J11" s="2">
        <v>5</v>
      </c>
      <c r="K11" s="2">
        <v>1</v>
      </c>
      <c r="L11" s="3">
        <f>IF(AND(B11&lt;&gt;"",C11&lt;&gt;"",D11&lt;&gt;"",E11&lt;&gt;"",F11&lt;&gt;"",G11&lt;&gt;"",H11&lt;&gt;"",I11&lt;&gt;"",J11&lt;&gt;"",K11&lt;&gt;""),((B11-1)+(5-C11)+(D11-1)+(5-E11)+(F11-1)+(5-G11)+(H11-1)+(5-I11)+(J11-1)+(5-K11))*2.5,"")</f>
        <v>100</v>
      </c>
    </row>
    <row r="12" spans="1:12">
      <c r="A12" s="2">
        <v>11</v>
      </c>
      <c r="B12" s="2">
        <v>4</v>
      </c>
      <c r="C12" s="2">
        <v>1</v>
      </c>
      <c r="D12" s="2">
        <v>5</v>
      </c>
      <c r="E12" s="2">
        <v>1</v>
      </c>
      <c r="F12" s="2">
        <v>5</v>
      </c>
      <c r="G12" s="2">
        <v>1</v>
      </c>
      <c r="H12" s="2">
        <v>4</v>
      </c>
      <c r="I12" s="2">
        <v>1</v>
      </c>
      <c r="J12" s="2">
        <v>4</v>
      </c>
      <c r="K12" s="2">
        <v>2</v>
      </c>
      <c r="L12" s="3">
        <f>IF(AND(B12&lt;&gt;"",C12&lt;&gt;"",D12&lt;&gt;"",E12&lt;&gt;"",F12&lt;&gt;"",G12&lt;&gt;"",H12&lt;&gt;"",I12&lt;&gt;"",J12&lt;&gt;"",K12&lt;&gt;""),((B12-1)+(5-C12)+(D12-1)+(5-E12)+(F12-1)+(5-G12)+(H12-1)+(5-I12)+(J12-1)+(5-K12))*2.5,"")</f>
        <v>90</v>
      </c>
    </row>
    <row r="13" spans="1:12">
      <c r="A13" s="2">
        <v>12</v>
      </c>
      <c r="B13" s="2">
        <v>5</v>
      </c>
      <c r="C13" s="2">
        <v>1</v>
      </c>
      <c r="D13" s="2">
        <v>5</v>
      </c>
      <c r="E13" s="2">
        <v>1</v>
      </c>
      <c r="F13" s="2">
        <v>5</v>
      </c>
      <c r="G13" s="2">
        <v>1</v>
      </c>
      <c r="H13" s="2">
        <v>5</v>
      </c>
      <c r="I13" s="2">
        <v>1</v>
      </c>
      <c r="J13" s="2">
        <v>5</v>
      </c>
      <c r="K13" s="2">
        <v>1</v>
      </c>
      <c r="L13" s="3">
        <f>IF(AND(B13&lt;&gt;"",C13&lt;&gt;"",D13&lt;&gt;"",E13&lt;&gt;"",F13&lt;&gt;"",G13&lt;&gt;"",H13&lt;&gt;"",I13&lt;&gt;"",J13&lt;&gt;"",K13&lt;&gt;""),((B13-1)+(5-C13)+(D13-1)+(5-E13)+(F13-1)+(5-G13)+(H13-1)+(5-I13)+(J13-1)+(5-K13))*2.5,"")</f>
        <v>100</v>
      </c>
    </row>
    <row r="14" spans="1:12">
      <c r="A14" s="2">
        <v>13</v>
      </c>
      <c r="B14" s="2">
        <v>5</v>
      </c>
      <c r="C14" s="2">
        <v>1</v>
      </c>
      <c r="D14" s="2">
        <v>5</v>
      </c>
      <c r="E14" s="2">
        <v>1</v>
      </c>
      <c r="F14" s="2">
        <v>5</v>
      </c>
      <c r="G14" s="2">
        <v>1</v>
      </c>
      <c r="H14" s="2">
        <v>5</v>
      </c>
      <c r="I14" s="2">
        <v>1</v>
      </c>
      <c r="J14" s="2">
        <v>5</v>
      </c>
      <c r="K14" s="2">
        <v>1</v>
      </c>
      <c r="L14" s="3">
        <f>IF(AND(B14&lt;&gt;"",C14&lt;&gt;"",D14&lt;&gt;"",E14&lt;&gt;"",F14&lt;&gt;"",G14&lt;&gt;"",H14&lt;&gt;"",I14&lt;&gt;"",J14&lt;&gt;"",K14&lt;&gt;""),((B14-1)+(5-C14)+(D14-1)+(5-E14)+(F14-1)+(5-G14)+(H14-1)+(5-I14)+(J14-1)+(5-K14))*2.5,"")</f>
        <v>100</v>
      </c>
    </row>
    <row r="15" spans="1:12">
      <c r="A15" s="2">
        <v>14</v>
      </c>
      <c r="B15" s="2">
        <v>5</v>
      </c>
      <c r="C15" s="2">
        <v>1</v>
      </c>
      <c r="D15" s="2">
        <v>5</v>
      </c>
      <c r="E15" s="2">
        <v>1</v>
      </c>
      <c r="F15" s="2">
        <v>5</v>
      </c>
      <c r="G15" s="2">
        <v>1</v>
      </c>
      <c r="H15" s="2">
        <v>5</v>
      </c>
      <c r="I15" s="2">
        <v>1</v>
      </c>
      <c r="J15" s="2">
        <v>5</v>
      </c>
      <c r="K15" s="2">
        <v>1</v>
      </c>
      <c r="L15" s="3">
        <f>IF(AND(B15&lt;&gt;"",C15&lt;&gt;"",D15&lt;&gt;"",E15&lt;&gt;"",F15&lt;&gt;"",G15&lt;&gt;"",H15&lt;&gt;"",I15&lt;&gt;"",J15&lt;&gt;"",K15&lt;&gt;""),((B15-1)+(5-C15)+(D15-1)+(5-E15)+(F15-1)+(5-G15)+(H15-1)+(5-I15)+(J15-1)+(5-K15))*2.5,"")</f>
        <v>100</v>
      </c>
    </row>
    <row r="16" spans="1:12">
      <c r="A16" s="2">
        <v>15</v>
      </c>
      <c r="B16" s="2">
        <v>4</v>
      </c>
      <c r="C16" s="2">
        <v>1</v>
      </c>
      <c r="D16" s="2">
        <v>5</v>
      </c>
      <c r="E16" s="2">
        <v>1</v>
      </c>
      <c r="F16" s="2">
        <v>5</v>
      </c>
      <c r="G16" s="2">
        <v>1</v>
      </c>
      <c r="H16" s="2">
        <v>4</v>
      </c>
      <c r="I16" s="2">
        <v>1</v>
      </c>
      <c r="J16" s="2">
        <v>4</v>
      </c>
      <c r="K16" s="2">
        <v>2</v>
      </c>
      <c r="L16" s="3">
        <f>IF(AND(B16&lt;&gt;"",C16&lt;&gt;"",D16&lt;&gt;"",E16&lt;&gt;"",F16&lt;&gt;"",G16&lt;&gt;"",H16&lt;&gt;"",I16&lt;&gt;"",J16&lt;&gt;"",K16&lt;&gt;""),((B16-1)+(5-C16)+(D16-1)+(5-E16)+(F16-1)+(5-G16)+(H16-1)+(5-I16)+(J16-1)+(5-K16))*2.5,"")</f>
        <v>90</v>
      </c>
    </row>
  </sheetData>
  <autoFilter ref="A1:L16" xr:uid="{00000000-0009-0000-0000-000000000000}">
    <sortState xmlns:xlrd2="http://schemas.microsoft.com/office/spreadsheetml/2017/richdata2" ref="A2:L16">
      <sortCondition ref="A1:A16"/>
    </sortState>
  </autoFilter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2026-04-20T15:58:49Z</dcterms:created>
  <dcterms:modified xsi:type="dcterms:W3CDTF">2026-04-20T17:14:47Z</dcterms:modified>
  <cp:category/>
  <cp:contentStatus/>
</cp:coreProperties>
</file>